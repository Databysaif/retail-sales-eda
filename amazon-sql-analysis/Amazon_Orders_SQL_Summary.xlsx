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venue" sheetId="2" state="visible" r:id="rId4"/>
    <sheet name="Customers" sheetId="3" state="visible" r:id="rId5"/>
    <sheet name="Product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<sst xmlns="http://schemas.openxmlformats.org/spreadsheetml/2006/main" count="225" uniqueCount="129">
  <si>
    <t xml:space="preserve">SQL Analysis of Customer Orders: Amazon India</t>
  </si>
  <si>
    <t xml:space="preserve">Source: Kaggle Amazon Sales Dataset (CC BY-NC-SA 4.0). Orders and revenue are review-based proxies; see Notes before quoting any number.</t>
  </si>
  <si>
    <t xml:space="preserve">Headline numbers</t>
  </si>
  <si>
    <t xml:space="preserve">Orders (reviews)</t>
  </si>
  <si>
    <t xml:space="preserve">Customers</t>
  </si>
  <si>
    <t xml:space="preserve">Products ordered</t>
  </si>
  <si>
    <t xml:space="preserve">Revenue (₹ lakh)</t>
  </si>
  <si>
    <t xml:space="preserve">Avg order value (₹)</t>
  </si>
  <si>
    <t xml:space="preserve">Repeat customers</t>
  </si>
  <si>
    <t xml:space="preserve">Key findings</t>
  </si>
  <si>
    <t xml:space="preserve">Revenue</t>
  </si>
  <si>
    <t xml:space="preserve">Orders = distinct customer reviews (a stand-in for purchases). Revenue = selling price of those items. Blue = values from SQL; black = formulas.</t>
  </si>
  <si>
    <t xml:space="preserve">Overview (query q01)</t>
  </si>
  <si>
    <t xml:space="preserve">Orders</t>
  </si>
  <si>
    <t xml:space="preserve">Revenue (₹)</t>
  </si>
  <si>
    <t xml:space="preserve">Discount given (₹)</t>
  </si>
  <si>
    <t xml:space="preserve">Revenue by main category (query q02)</t>
  </si>
  <si>
    <t xml:space="preserve">Main category</t>
  </si>
  <si>
    <t xml:space="preserve">Revenue share</t>
  </si>
  <si>
    <t xml:space="preserve">Order share</t>
  </si>
  <si>
    <t xml:space="preserve">Electronics</t>
  </si>
  <si>
    <t xml:space="preserve">Home &amp; Kitchen</t>
  </si>
  <si>
    <t xml:space="preserve">Computers &amp; Accessories</t>
  </si>
  <si>
    <t xml:space="preserve">Office Products</t>
  </si>
  <si>
    <t xml:space="preserve">Car &amp; Motorbike</t>
  </si>
  <si>
    <t xml:space="preserve">Musical Instruments</t>
  </si>
  <si>
    <t xml:space="preserve">Home Improvement</t>
  </si>
  <si>
    <t xml:space="preserve">Health &amp; Personal Care</t>
  </si>
  <si>
    <t xml:space="preserve">Toys &amp; Games</t>
  </si>
  <si>
    <t xml:space="preserve">Total</t>
  </si>
  <si>
    <t xml:space="preserve">n/a</t>
  </si>
  <si>
    <t xml:space="preserve">Customers are not additive across categories (one customer can buy in several), so the total is left blank.</t>
  </si>
  <si>
    <t xml:space="preserve">Orders by price band (query q04)</t>
  </si>
  <si>
    <t xml:space="preserve">Price band (₹)</t>
  </si>
  <si>
    <t xml:space="preserve">Under 500</t>
  </si>
  <si>
    <t xml:space="preserve">500 - 1,999</t>
  </si>
  <si>
    <t xml:space="preserve">2,000 - 9,999</t>
  </si>
  <si>
    <t xml:space="preserve">10,000 and above</t>
  </si>
  <si>
    <t xml:space="preserve">Top 10 sub-categories by revenue, 30+ orders (query q03)</t>
  </si>
  <si>
    <t xml:space="preserve">Sub-category</t>
  </si>
  <si>
    <t xml:space="preserve">SmartTelevisions</t>
  </si>
  <si>
    <t xml:space="preserve">Smartphones</t>
  </si>
  <si>
    <t xml:space="preserve">SmartWatches</t>
  </si>
  <si>
    <t xml:space="preserve">WaterFilters&amp;Purifiers</t>
  </si>
  <si>
    <t xml:space="preserve">MixerGrinders</t>
  </si>
  <si>
    <t xml:space="preserve">StorageWaterHeaters</t>
  </si>
  <si>
    <t xml:space="preserve">InstantWaterHeaters</t>
  </si>
  <si>
    <t xml:space="preserve">HEPAAirPurifiers</t>
  </si>
  <si>
    <t xml:space="preserve">FanHeaters</t>
  </si>
  <si>
    <t xml:space="preserve">In-Ear</t>
  </si>
  <si>
    <t xml:space="preserve">Customer = a reviewer (IDs are hashed). Repeat = 2+ distinct reviews. Customers come from a sample of up to 8 reviews per product, so repeat rates are a floor.</t>
  </si>
  <si>
    <t xml:space="preserve">Repeat vs one-time customers (query q05)</t>
  </si>
  <si>
    <t xml:space="preserve">Customer type</t>
  </si>
  <si>
    <t xml:space="preserve">Customer share</t>
  </si>
  <si>
    <t xml:space="preserve">Avg spend per customer (₹)</t>
  </si>
  <si>
    <t xml:space="preserve">Repeat (2+ orders)</t>
  </si>
  <si>
    <t xml:space="preserve">One-time (1 order)</t>
  </si>
  <si>
    <t xml:space="preserve">Orders per customer (query q06)</t>
  </si>
  <si>
    <t xml:space="preserve">Orders per customer</t>
  </si>
  <si>
    <t xml:space="preserve">Share of customers</t>
  </si>
  <si>
    <t xml:space="preserve">Customers buying in 2+ main categories (query q08)</t>
  </si>
  <si>
    <t xml:space="preserve">Cross-category customers</t>
  </si>
  <si>
    <t xml:space="preserve">All customers</t>
  </si>
  <si>
    <t xml:space="preserve">Share</t>
  </si>
  <si>
    <t xml:space="preserve">Where repeat customers buy (query q09)</t>
  </si>
  <si>
    <t xml:space="preserve">Orders by repeat customers</t>
  </si>
  <si>
    <t xml:space="preserve">Products</t>
  </si>
  <si>
    <t xml:space="preserve">Variants of one product (colour/size) are collapsed to one listing (see Notes). Est. revenue = ratings received x selling price: a rough lower bound, not real sales.</t>
  </si>
  <si>
    <t xml:space="preserve">Top 10 products by ratings received (query q10)</t>
  </si>
  <si>
    <t xml:space="preserve">#</t>
  </si>
  <si>
    <t xml:space="preserve">Product</t>
  </si>
  <si>
    <t xml:space="preserve">Price (₹)</t>
  </si>
  <si>
    <t xml:space="preserve">Discount %</t>
  </si>
  <si>
    <t xml:space="preserve">Rating</t>
  </si>
  <si>
    <t xml:space="preserve">Ratings received</t>
  </si>
  <si>
    <t xml:space="preserve">Amazon Basics High-Speed HDMI Cable, 6 Feet…</t>
  </si>
  <si>
    <t xml:space="preserve">HDMICables</t>
  </si>
  <si>
    <t xml:space="preserve">boAt Bassheads 100 in Ear Wired Earphones with…</t>
  </si>
  <si>
    <t xml:space="preserve">Redmi 9 Activ (Carbon Black, 4GB RAM, 64GB Sto…</t>
  </si>
  <si>
    <t xml:space="preserve">boAt Bassheads 225 in Ear Wired Earphones with…</t>
  </si>
  <si>
    <t xml:space="preserve">Pigeon Polypropylene Mini Handy and Compact Ch…</t>
  </si>
  <si>
    <t xml:space="preserve">Choppers</t>
  </si>
  <si>
    <t xml:space="preserve">SanDisk Cruzer Blade 32GB USB Flash Drive</t>
  </si>
  <si>
    <t xml:space="preserve">PenDrives</t>
  </si>
  <si>
    <t xml:space="preserve">SanDisk Extreme SD UHS I 64GB Card for 4K Vide…</t>
  </si>
  <si>
    <t xml:space="preserve">MicroSD</t>
  </si>
  <si>
    <t xml:space="preserve">JBL C100SI Wired In Ear Headphones with Mic, J…</t>
  </si>
  <si>
    <t xml:space="preserve">SanDisk Ultra Dual 64 GB USB 3.0 OTG Pen Drive…</t>
  </si>
  <si>
    <t xml:space="preserve">boAt Airdopes 121v2 in-Ear True Wireless Earbu…</t>
  </si>
  <si>
    <t xml:space="preserve">Top 10 products by estimated revenue (query q11)</t>
  </si>
  <si>
    <t xml:space="preserve">Est. revenue (₹ crore)</t>
  </si>
  <si>
    <t xml:space="preserve">Redmi 126 cm (50 inches) 4K Ultra HD Android S…</t>
  </si>
  <si>
    <t xml:space="preserve">Samsung Galaxy S20 FE 5G (Cloud Navy, 8GB RAM…</t>
  </si>
  <si>
    <t xml:space="preserve">MI 138.8 cm (55 inches) 5X Series 4K Ultra HD…</t>
  </si>
  <si>
    <t xml:space="preserve">OnePlus 108 cm (43 inches) Y Series Full HD Sm…</t>
  </si>
  <si>
    <t xml:space="preserve">MI 108 cm (43 inches) 5A Series Full HD Smart…</t>
  </si>
  <si>
    <t xml:space="preserve">OPPO A31 (Mystery Black, 6GB RAM, 128GB Storag…</t>
  </si>
  <si>
    <t xml:space="preserve">Samsung Galaxy M32 Prime Edition (Light Blue…</t>
  </si>
  <si>
    <t xml:space="preserve">Redmi Note 11 (Space Black, 4GB RAM, 64GB Stor…</t>
  </si>
  <si>
    <t xml:space="preserve">Redmi Note 11 Pro + 5G (Stealth Black, 8GB RAM…</t>
  </si>
  <si>
    <t xml:space="preserve">Estimated revenue by main category (query q12)</t>
  </si>
  <si>
    <t xml:space="preserve">Product families</t>
  </si>
  <si>
    <t xml:space="preserve">Est. revenue (₹)</t>
  </si>
  <si>
    <t xml:space="preserve">Est. revenue share</t>
  </si>
  <si>
    <t xml:space="preserve">Discount depth vs ratings received (query q14)</t>
  </si>
  <si>
    <t xml:space="preserve">Discount band</t>
  </si>
  <si>
    <t xml:space="preserve">Avg ratings per product</t>
  </si>
  <si>
    <t xml:space="preserve">Avg rating</t>
  </si>
  <si>
    <t xml:space="preserve">Under 30% off</t>
  </si>
  <si>
    <t xml:space="preserve">30-59% off</t>
  </si>
  <si>
    <t xml:space="preserve">60%+ off</t>
  </si>
  <si>
    <t xml:space="preserve">More discount does not clearly mean more ratings: the 30-59% band has the fewest.</t>
  </si>
  <si>
    <t xml:space="preserve">Notes: method and caveats</t>
  </si>
  <si>
    <t xml:space="preserve">Topic</t>
  </si>
  <si>
    <t xml:space="preserve">Note</t>
  </si>
  <si>
    <t xml:space="preserve">Data</t>
  </si>
  <si>
    <t xml:space="preserve">Kaggle 'Amazon Sales Dataset' (karkavelrajaj), scraped from Amazon India; CC BY-NC-SA 4.0. 1,351 unique products, each with up to 8 sampled customer reviews.</t>
  </si>
  <si>
    <t xml:space="preserve">What an 'order' is</t>
  </si>
  <si>
    <t xml:space="preserve">The data has no order table. One order = one distinct review (review_id). A review attached to several variants of the same product is counted once. Orders are therefore a sample, capped at ~8 per listing, not real purchases.</t>
  </si>
  <si>
    <t xml:space="preserve">What 'revenue' is</t>
  </si>
  <si>
    <t xml:space="preserve">Selling price of the ordered item, summed over orders. It is a sample-based proxy; absolute amounts are NOT company revenue. Use the shares, not the rupee totals.</t>
  </si>
  <si>
    <t xml:space="preserve">A customer is a reviewer. IDs are hashed (SHA-256, truncated) and names and review text are not stored. Because only ~8 reviews per product are present, repeat-customer rates are a floor, not the true rate.</t>
  </si>
  <si>
    <t xml:space="preserve">Estimated revenue</t>
  </si>
  <si>
    <t xml:space="preserve">Ratings received x selling price. Only some buyers leave a rating, so this is a lower bound, and it uses today's price for all past ratings.</t>
  </si>
  <si>
    <t xml:space="preserve">Many listings are variants (colour/size) with near-identical rating counts. Listings with 1,000+ ratings are merged when they share sub-category, star rating and rating_count/100. This is an approximation and may occasionally merge unrelated products or miss a variant.</t>
  </si>
  <si>
    <t xml:space="preserve">Colour legend</t>
  </si>
  <si>
    <t xml:space="preserve">Blue = value copied from a SQL query result. Black = Excel formula (shares, averages, totals, headline findings).</t>
  </si>
  <si>
    <t xml:space="preserve">Rebuild</t>
  </si>
  <si>
    <t xml:space="preserve">python load_db.py -&gt; python run_queries.py -&gt; python build_excel.py. All SQL is in sql/queries.sql.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</si>
</sst>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0.0"/>
    <numFmt numFmtId="169" formatCode="#,##0.0"/>
    <numFmt numFmtId="170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main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Revenue!E9</c:f>
              <c:strCache>
                <c:ptCount val="1"/>
                <c:pt idx="0">
                  <c:v>Revenue share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Revenue!$A$10:$A$12</c:f>
              <c:strCache>
                <c:ptCount val="3"/>
                <c:pt idx="0">
                  <c:v>Electronics</c:v>
                </c:pt>
                <c:pt idx="1">
                  <c:v>Home &amp; Kitchen</c:v>
                </c:pt>
                <c:pt idx="2">
                  <c:v>Computers &amp; Accessories</c:v>
                </c:pt>
              </c:strCache>
            </c:strRef>
          </c:cat>
          <c:val>
            <c:numRef>
              <c:f>Revenue!$E$10:$E$12</c:f>
              <c:numCache>
                <c:formatCode>0.0%</c:formatCode>
                <c:ptCount val="3"/>
                <c:pt idx="0">
                  <c:v>0.537186915174517</c:v>
                </c:pt>
                <c:pt idx="1">
                  <c:v>0.348663774260705</c:v>
                </c:pt>
                <c:pt idx="2">
                  <c:v>0.109262513707379</c:v>
                </c:pt>
              </c:numCache>
            </c:numRef>
          </c:val>
        </c:ser>
        <c:gapWidth val="150"/>
        <c:overlap val="0"/>
        <c:axId val="44320973"/>
        <c:axId val="20857733"/>
      </c:barChart>
      <c:catAx>
        <c:axId val="44320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57733"/>
        <c:crosses val="autoZero"/>
        <c:auto val="1"/>
        <c:lblAlgn val="ctr"/>
        <c:lblOffset val="100"/>
        <c:noMultiLvlLbl val="0"/>
      </c:catAx>
      <c:valAx>
        <c:axId val="20857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20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orders vs revenue by price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Revenue!E24</c:f>
              <c:strCache>
                <c:ptCount val="1"/>
                <c:pt idx="0">
                  <c:v>Revenue share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Revenue!$A$25:$A$28</c:f>
              <c:strCache>
                <c:ptCount val="4"/>
                <c:pt idx="0">
                  <c:v>Under 500</c:v>
                </c:pt>
                <c:pt idx="1">
                  <c:v>500 - 1,999</c:v>
                </c:pt>
                <c:pt idx="2">
                  <c:v>2,000 - 9,999</c:v>
                </c:pt>
                <c:pt idx="3">
                  <c:v>10,000 and above</c:v>
                </c:pt>
              </c:strCache>
            </c:strRef>
          </c:cat>
          <c:val>
            <c:numRef>
              <c:f>Revenue!$E$25:$E$28</c:f>
              <c:numCache>
                <c:formatCode>0.0%</c:formatCode>
                <c:ptCount val="4"/>
                <c:pt idx="0">
                  <c:v>0.0428433485205877</c:v>
                </c:pt>
                <c:pt idx="1">
                  <c:v>0.171435262043422</c:v>
                </c:pt>
                <c:pt idx="2">
                  <c:v>0.338310743804773</c:v>
                </c:pt>
                <c:pt idx="3">
                  <c:v>0.447410645631217</c:v>
                </c:pt>
              </c:numCache>
            </c:numRef>
          </c:val>
        </c:ser>
        <c:gapWidth val="150"/>
        <c:overlap val="0"/>
        <c:axId val="45697393"/>
        <c:axId val="25765559"/>
      </c:barChart>
      <c:catAx>
        <c:axId val="45697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65559"/>
        <c:crosses val="autoZero"/>
        <c:auto val="1"/>
        <c:lblAlgn val="ctr"/>
        <c:lblOffset val="100"/>
        <c:noMultiLvlLbl val="0"/>
      </c:catAx>
      <c:valAx>
        <c:axId val="25765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973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main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Revenue!E9</c:f>
              <c:strCache>
                <c:ptCount val="1"/>
                <c:pt idx="0">
                  <c:v>Revenue share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Revenue!$A$10:$A$12</c:f>
              <c:strCache>
                <c:ptCount val="3"/>
                <c:pt idx="0">
                  <c:v>Electronics</c:v>
                </c:pt>
                <c:pt idx="1">
                  <c:v>Home &amp; Kitchen</c:v>
                </c:pt>
                <c:pt idx="2">
                  <c:v>Computers &amp; Accessories</c:v>
                </c:pt>
              </c:strCache>
            </c:strRef>
          </c:cat>
          <c:val>
            <c:numRef>
              <c:f>Revenue!$E$10:$E$12</c:f>
              <c:numCache>
                <c:formatCode>0.0%</c:formatCode>
                <c:ptCount val="3"/>
                <c:pt idx="0">
                  <c:v>0.537186915174517</c:v>
                </c:pt>
                <c:pt idx="1">
                  <c:v>0.348663774260705</c:v>
                </c:pt>
                <c:pt idx="2">
                  <c:v>0.109262513707379</c:v>
                </c:pt>
              </c:numCache>
            </c:numRef>
          </c:val>
        </c:ser>
        <c:gapWidth val="150"/>
        <c:overlap val="0"/>
        <c:axId val="62199999"/>
        <c:axId val="35039370"/>
      </c:barChart>
      <c:catAx>
        <c:axId val="621999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39370"/>
        <c:crosses val="autoZero"/>
        <c:auto val="1"/>
        <c:lblAlgn val="ctr"/>
        <c:lblOffset val="100"/>
        <c:noMultiLvlLbl val="0"/>
      </c:catAx>
      <c:valAx>
        <c:axId val="35039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99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orders vs revenue by price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Revenue!E24</c:f>
              <c:strCache>
                <c:ptCount val="1"/>
                <c:pt idx="0">
                  <c:v>Revenue share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Revenue!$A$25:$A$28</c:f>
              <c:strCache>
                <c:ptCount val="4"/>
                <c:pt idx="0">
                  <c:v>Under 500</c:v>
                </c:pt>
                <c:pt idx="1">
                  <c:v>500 - 1,999</c:v>
                </c:pt>
                <c:pt idx="2">
                  <c:v>2,000 - 9,999</c:v>
                </c:pt>
                <c:pt idx="3">
                  <c:v>10,000 and above</c:v>
                </c:pt>
              </c:strCache>
            </c:strRef>
          </c:cat>
          <c:val>
            <c:numRef>
              <c:f>Revenue!$E$25:$E$28</c:f>
              <c:numCache>
                <c:formatCode>0.0%</c:formatCode>
                <c:ptCount val="4"/>
                <c:pt idx="0">
                  <c:v>0.0428433485205877</c:v>
                </c:pt>
                <c:pt idx="1">
                  <c:v>0.171435262043422</c:v>
                </c:pt>
                <c:pt idx="2">
                  <c:v>0.338310743804773</c:v>
                </c:pt>
                <c:pt idx="3">
                  <c:v>0.447410645631217</c:v>
                </c:pt>
              </c:numCache>
            </c:numRef>
          </c:val>
        </c:ser>
        <c:gapWidth val="150"/>
        <c:overlap val="0"/>
        <c:axId val="23544206"/>
        <c:axId val="41972378"/>
      </c:barChart>
      <c:catAx>
        <c:axId val="23544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72378"/>
        <c:crosses val="autoZero"/>
        <c:auto val="1"/>
        <c:lblAlgn val="ctr"/>
        <c:lblOffset val="100"/>
        <c:noMultiLvlLbl val="0"/>
      </c:catAx>
      <c:valAx>
        <c:axId val="41972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442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number of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Customers!B12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Customers!$A$13:$A$16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strCache>
            </c:strRef>
          </c:cat>
          <c:val>
            <c:numRef>
              <c:f>Customers!$B$13:$B$16</c:f>
              <c:numCache>
                <c:formatCode>#,##0</c:formatCode>
                <c:ptCount val="4"/>
                <c:pt idx="0">
                  <c:v>8848</c:v>
                </c:pt>
                <c:pt idx="1">
                  <c:v>187</c:v>
                </c:pt>
                <c:pt idx="2">
                  <c:v>14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2342024"/>
        <c:axId val="65012403"/>
      </c:barChart>
      <c:catAx>
        <c:axId val="4234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12403"/>
        <c:crosses val="autoZero"/>
        <c:auto val="1"/>
        <c:lblAlgn val="ctr"/>
        <c:lblOffset val="100"/>
        <c:noMultiLvlLbl val="0"/>
      </c:catAx>
      <c:valAx>
        <c:axId val="65012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42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ratings received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Products!H5</c:f>
              <c:strCache>
                <c:ptCount val="1"/>
                <c:pt idx="0">
                  <c:v>Ratings received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Products!$B$6:$B$15</c:f>
              <c:strCache>
                <c:ptCount val="10"/>
                <c:pt idx="0">
                  <c:v>Amazon Basics High-Speed HDMI Cable, 6 Feet…</c:v>
                </c:pt>
                <c:pt idx="1">
                  <c:v>boAt Bassheads 100 in Ear Wired Earphones with…</c:v>
                </c:pt>
                <c:pt idx="2">
                  <c:v>Redmi 9 Activ (Carbon Black, 4GB RAM, 64GB Sto…</c:v>
                </c:pt>
                <c:pt idx="3">
                  <c:v>boAt Bassheads 225 in Ear Wired Earphones with…</c:v>
                </c:pt>
                <c:pt idx="4">
                  <c:v>Pigeon Polypropylene Mini Handy and Compact Ch…</c:v>
                </c:pt>
                <c:pt idx="5">
                  <c:v>SanDisk Cruzer Blade 32GB USB Flash Drive</c:v>
                </c:pt>
                <c:pt idx="6">
                  <c:v>SanDisk Extreme SD UHS I 64GB Card for 4K Vide…</c:v>
                </c:pt>
                <c:pt idx="7">
                  <c:v>JBL C100SI Wired In Ear Headphones with Mic, J…</c:v>
                </c:pt>
                <c:pt idx="8">
                  <c:v>SanDisk Ultra Dual 64 GB USB 3.0 OTG Pen Drive…</c:v>
                </c:pt>
                <c:pt idx="9">
                  <c:v>boAt Airdopes 121v2 in-Ear True Wireless Earbu…</c:v>
                </c:pt>
              </c:strCache>
            </c:strRef>
          </c:cat>
          <c:val>
            <c:numRef>
              <c:f>Products!$H$6:$H$15</c:f>
              <c:numCache>
                <c:formatCode>#,##0</c:formatCode>
                <c:ptCount val="10"/>
                <c:pt idx="0">
                  <c:v>426973</c:v>
                </c:pt>
                <c:pt idx="1">
                  <c:v>363713</c:v>
                </c:pt>
                <c:pt idx="2">
                  <c:v>313836</c:v>
                </c:pt>
                <c:pt idx="3">
                  <c:v>273189</c:v>
                </c:pt>
                <c:pt idx="4">
                  <c:v>270563</c:v>
                </c:pt>
                <c:pt idx="5">
                  <c:v>253105</c:v>
                </c:pt>
                <c:pt idx="6">
                  <c:v>205052</c:v>
                </c:pt>
                <c:pt idx="7">
                  <c:v>192590</c:v>
                </c:pt>
                <c:pt idx="8">
                  <c:v>189104</c:v>
                </c:pt>
                <c:pt idx="9">
                  <c:v>180998</c:v>
                </c:pt>
              </c:numCache>
            </c:numRef>
          </c:val>
        </c:ser>
        <c:gapWidth val="150"/>
        <c:overlap val="0"/>
        <c:axId val="93125875"/>
        <c:axId val="46096930"/>
      </c:barChart>
      <c:catAx>
        <c:axId val="931258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96930"/>
        <c:crosses val="autoZero"/>
        <c:auto val="1"/>
        <c:lblAlgn val="ctr"/>
        <c:lblOffset val="100"/>
        <c:noMultiLvlLbl val="0"/>
      </c:catAx>
      <c:valAx>
        <c:axId val="46096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258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revenue share by main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Products!F33</c:f>
              <c:strCache>
                <c:ptCount val="1"/>
                <c:pt idx="0">
                  <c:v>Est. revenue share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Products!$A$34:$A$36</c:f>
              <c:strCache>
                <c:ptCount val="3"/>
                <c:pt idx="0">
                  <c:v>Electronics</c:v>
                </c:pt>
                <c:pt idx="1">
                  <c:v>Home &amp; Kitchen</c:v>
                </c:pt>
                <c:pt idx="2">
                  <c:v>Computers &amp; Accessories</c:v>
                </c:pt>
              </c:strCache>
            </c:strRef>
          </c:cat>
          <c:val>
            <c:numRef>
              <c:f>Products!$F$34:$F$36</c:f>
              <c:numCache>
                <c:formatCode>0.0%</c:formatCode>
                <c:ptCount val="3"/>
                <c:pt idx="0">
                  <c:v>0.703898324500891</c:v>
                </c:pt>
                <c:pt idx="1">
                  <c:v>0.157043364108891</c:v>
                </c:pt>
                <c:pt idx="2">
                  <c:v>0.136027760506297</c:v>
                </c:pt>
              </c:numCache>
            </c:numRef>
          </c:val>
        </c:ser>
        <c:gapWidth val="150"/>
        <c:overlap val="0"/>
        <c:axId val="96817105"/>
        <c:axId val="43327691"/>
      </c:barChart>
      <c:catAx>
        <c:axId val="96817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27691"/>
        <c:crosses val="autoZero"/>
        <c:auto val="1"/>
        <c:lblAlgn val="ctr"/>
        <c:lblOffset val="100"/>
        <c:noMultiLvlLbl val="0"/>
      </c:catAx>
      <c:valAx>
        <c:axId val="43327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171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71280</xdr:rowOff>
    </xdr:from>
    <xdr:to>
      <xdr:col>5</xdr:col>
      <xdr:colOff>645840</xdr:colOff>
      <xdr:row>30</xdr:row>
      <xdr:rowOff>93240</xdr:rowOff>
    </xdr:to>
    <xdr:graphicFrame>
      <xdr:nvGraphicFramePr>
        <xdr:cNvPr id="0" name="Chart 1"/>
        <xdr:cNvGraphicFramePr/>
      </xdr:nvGraphicFramePr>
      <xdr:xfrm>
        <a:off x="0" y="41911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71280</xdr:rowOff>
    </xdr:from>
    <xdr:to>
      <xdr:col>11</xdr:col>
      <xdr:colOff>645840</xdr:colOff>
      <xdr:row>30</xdr:row>
      <xdr:rowOff>93240</xdr:rowOff>
    </xdr:to>
    <xdr:graphicFrame>
      <xdr:nvGraphicFramePr>
        <xdr:cNvPr id="1" name="Chart 2"/>
        <xdr:cNvGraphicFramePr/>
      </xdr:nvGraphicFramePr>
      <xdr:xfrm>
        <a:off x="5920920" y="41911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17</xdr:col>
      <xdr:colOff>255960</xdr:colOff>
      <xdr:row>15</xdr:row>
      <xdr:rowOff>153000</xdr:rowOff>
    </xdr:to>
    <xdr:graphicFrame>
      <xdr:nvGraphicFramePr>
        <xdr:cNvPr id="2" name="Chart 1"/>
        <xdr:cNvGraphicFramePr/>
      </xdr:nvGraphicFramePr>
      <xdr:xfrm>
        <a:off x="99154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131040</xdr:rowOff>
    </xdr:from>
    <xdr:to>
      <xdr:col>17</xdr:col>
      <xdr:colOff>255960</xdr:colOff>
      <xdr:row>33</xdr:row>
      <xdr:rowOff>153000</xdr:rowOff>
    </xdr:to>
    <xdr:graphicFrame>
      <xdr:nvGraphicFramePr>
        <xdr:cNvPr id="3" name="Chart 2"/>
        <xdr:cNvGraphicFramePr/>
      </xdr:nvGraphicFramePr>
      <xdr:xfrm>
        <a:off x="991548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18</xdr:col>
      <xdr:colOff>255960</xdr:colOff>
      <xdr:row>15</xdr:row>
      <xdr:rowOff>153000</xdr:rowOff>
    </xdr:to>
    <xdr:graphicFrame>
      <xdr:nvGraphicFramePr>
        <xdr:cNvPr id="4" name="Chart 1"/>
        <xdr:cNvGraphicFramePr/>
      </xdr:nvGraphicFramePr>
      <xdr:xfrm>
        <a:off x="116071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23</xdr:col>
      <xdr:colOff>78480</xdr:colOff>
      <xdr:row>21</xdr:row>
      <xdr:rowOff>90000</xdr:rowOff>
    </xdr:to>
    <xdr:graphicFrame>
      <xdr:nvGraphicFramePr>
        <xdr:cNvPr id="5" name="Chart 1"/>
        <xdr:cNvGraphicFramePr/>
      </xdr:nvGraphicFramePr>
      <xdr:xfrm>
        <a:off x="13580640" y="571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131040</xdr:rowOff>
    </xdr:from>
    <xdr:to>
      <xdr:col>18</xdr:col>
      <xdr:colOff>255960</xdr:colOff>
      <xdr:row>38</xdr:row>
      <xdr:rowOff>153000</xdr:rowOff>
    </xdr:to>
    <xdr:graphicFrame>
      <xdr:nvGraphicFramePr>
        <xdr:cNvPr id="6" name="Chart 2"/>
        <xdr:cNvGraphicFramePr/>
      </xdr:nvGraphicFramePr>
      <xdr:xfrm>
        <a:off x="13580640" y="5143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</row>
    <row r="6" customFormat="false" ht="19.7" hidden="false" customHeight="false" outlineLevel="0" collapsed="false">
      <c r="A6" s="5" t="n">
        <f aca="false">Revenue!A6</f>
        <v>9269</v>
      </c>
      <c r="B6" s="5"/>
      <c r="C6" s="5" t="n">
        <f aca="false">Revenue!B6</f>
        <v>9050</v>
      </c>
      <c r="D6" s="5"/>
      <c r="E6" s="5" t="n">
        <f aca="false">Revenue!C6</f>
        <v>1184</v>
      </c>
      <c r="F6" s="5"/>
      <c r="G6" s="5" t="n">
        <f aca="false">Revenue!D6/100000</f>
        <v>233.07702</v>
      </c>
      <c r="H6" s="5"/>
      <c r="I6" s="5" t="n">
        <f aca="false">Revenue!E6</f>
        <v>2514.58647103247</v>
      </c>
      <c r="J6" s="5"/>
      <c r="K6" s="6" t="n">
        <f aca="false">Customers!E6</f>
        <v>0.0223204419889503</v>
      </c>
      <c r="L6" s="6"/>
    </row>
    <row r="8" customFormat="false" ht="15" hidden="false" customHeight="false" outlineLevel="0" collapsed="false">
      <c r="A8" s="3" t="s">
        <v>9</v>
      </c>
    </row>
    <row r="9" customFormat="false" ht="30" hidden="false" customHeight="true" outlineLevel="0" collapsed="false">
      <c r="A9" s="7" t="str">
        <f aca="false">"1. Electronics brings in "&amp;TEXT(Revenue!E10,"0.0%")&amp;" of review-based revenue from only "&amp;TEXT(Revenue!F10,"0.0%")&amp;" of orders (average order ₹"&amp;TEXT(Revenue!G10,"#,##0")&amp;"); Computers &amp; Accessories is "&amp;TEXT(Revenue!F12,"0.0%")&amp;" of orders but only "&amp;TEXT(Revenue!E12,"0.0%")&amp;" of revenue."</f>
        <v>1. Electronics brings in 53.7% of review-based revenue from only 31.5% of orders (average order ₹4,288); Computers &amp; Accessories is 27.4% of orders but only 10.9% of revenue.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30" hidden="false" customHeight="true" outlineLevel="0" collapsed="false">
      <c r="A10" s="7" t="str">
        <f aca="false">"2. Orders of ₹10,000 or more are just "&amp;TEXT(Revenue!D28,"0.0%")&amp;" of orders but "&amp;TEXT(Revenue!E28,"0.0%")&amp;" of revenue; orders under ₹500 are "&amp;TEXT(Revenue!D25,"0.0%")&amp;" of orders and only "&amp;TEXT(Revenue!E25,"0.0%")&amp;" of revenue."</f>
        <v>2. Orders of ₹10,000 or more are just 5.2% of orders but 44.7% of revenue; orders under ₹500 are 37.7% of orders and only 4.3% of revenue.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30" hidden="false" customHeight="true" outlineLevel="0" collapsed="false">
      <c r="A11" s="7" t="str">
        <f aca="false">"3. Repeat customers (2+ orders) are only "&amp;TEXT(Customers!E6,"0.0%")&amp;" of customers and "&amp;TEXT(Customers!G6,"0.0%")&amp;" of revenue, but each spends about "&amp;TEXT(Customers!H6/Customers!H7,"0.0")&amp;"x a one-time customer (₹"&amp;TEXT(Customers!H6,"#,##0")&amp;" vs ₹"&amp;TEXT(Customers!H7,"#,##0")&amp;")."</f>
        <v>3. Repeat customers (2+ orders) are only 2.2% of customers and 4.2% of revenue, but each spends about 1.9x a one-time customer (₹4,872 vs ₹2,523).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30" hidden="false" customHeight="true" outlineLevel="0" collapsed="false">
      <c r="A12" s="7" t="str">
        <f aca="false">"4. Cross-selling is rare: only "&amp;TEXT(Customers!C22,"0.0%")&amp;" of customers bought from more than one main category."</f>
        <v>4. Cross-selling is rare: only 1.2% of customers bought from more than one main category.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30" hidden="false" customHeight="true" outlineLevel="0" collapsed="false">
      <c r="A13" s="7" t="str">
        <f aca="false">"5. The most-rated product is "&amp;LEFT(Products!B6,38)&amp;"... with "&amp;TEXT(Products!H6,"#,##0")&amp;" ratings, and "&amp;COUNTIF(Products!E6:E15,"&lt;1300")&amp;" of the top 10 by ratings cost under ₹1,300 (cables, earphones, memory, a kitchen chopper)."</f>
        <v>5. The most-rated product is Amazon Basics High-Speed HDMI Cable, 6... with 426,973 ratings, and 9 of the top 10 by ratings cost under ₹1,300 (cables, earphones, memory, a kitchen chopper).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30" hidden="false" customHeight="true" outlineLevel="0" collapsed="false">
      <c r="A14" s="7" t="str">
        <f aca="false">"6. Weighting by ratings x price instead, Electronics is "&amp;TEXT(Products!F34,"0.0%")&amp;" of estimated revenue, driven by smartphones and smart TVs."</f>
        <v>6. Weighting by ratings x price instead, Electronics is 70.4% of estimated revenue, driven by smartphones and smart TVs.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</sheetData>
  <mergeCells count="18"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9:L9"/>
    <mergeCell ref="A10:L10"/>
    <mergeCell ref="A11:L11"/>
    <mergeCell ref="A12:L12"/>
    <mergeCell ref="A13:L13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15" hidden="false" customHeight="false" outlineLevel="0" collapsed="false">
      <c r="A4" s="3" t="s">
        <v>12</v>
      </c>
    </row>
    <row r="5" customFormat="false" ht="30" hidden="false" customHeight="true" outlineLevel="0" collapsed="false">
      <c r="A5" s="8" t="s">
        <v>13</v>
      </c>
      <c r="B5" s="8" t="s">
        <v>4</v>
      </c>
      <c r="C5" s="8" t="s">
        <v>5</v>
      </c>
      <c r="D5" s="8" t="s">
        <v>14</v>
      </c>
      <c r="E5" s="8" t="s">
        <v>7</v>
      </c>
      <c r="F5" s="8" t="s">
        <v>15</v>
      </c>
    </row>
    <row r="6" customFormat="false" ht="15" hidden="false" customHeight="false" outlineLevel="0" collapsed="false">
      <c r="A6" s="9" t="n">
        <v>9269</v>
      </c>
      <c r="B6" s="9" t="n">
        <v>9050</v>
      </c>
      <c r="C6" s="9" t="n">
        <v>1184</v>
      </c>
      <c r="D6" s="9" t="n">
        <v>23307702</v>
      </c>
      <c r="E6" s="10" t="n">
        <f aca="false">D6/A6</f>
        <v>2514.58647103247</v>
      </c>
      <c r="F6" s="9" t="n">
        <v>18908404</v>
      </c>
    </row>
    <row r="8" customFormat="false" ht="15" hidden="false" customHeight="false" outlineLevel="0" collapsed="false">
      <c r="A8" s="3" t="s">
        <v>16</v>
      </c>
    </row>
    <row r="9" customFormat="false" ht="30" hidden="false" customHeight="true" outlineLevel="0" collapsed="false">
      <c r="A9" s="8" t="s">
        <v>17</v>
      </c>
      <c r="B9" s="8" t="s">
        <v>13</v>
      </c>
      <c r="C9" s="8" t="s">
        <v>4</v>
      </c>
      <c r="D9" s="8" t="s">
        <v>14</v>
      </c>
      <c r="E9" s="8" t="s">
        <v>18</v>
      </c>
      <c r="F9" s="8" t="s">
        <v>19</v>
      </c>
      <c r="G9" s="8" t="s">
        <v>7</v>
      </c>
    </row>
    <row r="10" customFormat="false" ht="15" hidden="false" customHeight="false" outlineLevel="0" collapsed="false">
      <c r="A10" s="11" t="s">
        <v>20</v>
      </c>
      <c r="B10" s="9" t="n">
        <v>2920</v>
      </c>
      <c r="C10" s="9" t="n">
        <v>2891</v>
      </c>
      <c r="D10" s="9" t="n">
        <v>12520592</v>
      </c>
      <c r="E10" s="12" t="n">
        <f aca="false">D10/D$19</f>
        <v>0.537186915174517</v>
      </c>
      <c r="F10" s="12" t="n">
        <f aca="false">B10/B$19</f>
        <v>0.315028589923401</v>
      </c>
      <c r="G10" s="10" t="n">
        <f aca="false">D10/B10</f>
        <v>4287.87397260274</v>
      </c>
    </row>
    <row r="11" customFormat="false" ht="15" hidden="false" customHeight="false" outlineLevel="0" collapsed="false">
      <c r="A11" s="11" t="s">
        <v>21</v>
      </c>
      <c r="B11" s="9" t="n">
        <v>3513</v>
      </c>
      <c r="C11" s="9" t="n">
        <v>3480</v>
      </c>
      <c r="D11" s="9" t="n">
        <v>8126551</v>
      </c>
      <c r="E11" s="12" t="n">
        <f aca="false">D11/D$19</f>
        <v>0.348663774260705</v>
      </c>
      <c r="F11" s="12" t="n">
        <f aca="false">B11/B$19</f>
        <v>0.379005286438667</v>
      </c>
      <c r="G11" s="10" t="n">
        <f aca="false">D11/B11</f>
        <v>2313.27953316254</v>
      </c>
    </row>
    <row r="12" customFormat="false" ht="15" hidden="false" customHeight="false" outlineLevel="0" collapsed="false">
      <c r="A12" s="11" t="s">
        <v>22</v>
      </c>
      <c r="B12" s="9" t="n">
        <v>2536</v>
      </c>
      <c r="C12" s="9" t="n">
        <v>2490</v>
      </c>
      <c r="D12" s="9" t="n">
        <v>2546658</v>
      </c>
      <c r="E12" s="12" t="n">
        <f aca="false">D12/D$19</f>
        <v>0.109262513707379</v>
      </c>
      <c r="F12" s="12" t="n">
        <f aca="false">B12/B$19</f>
        <v>0.273600172618405</v>
      </c>
      <c r="G12" s="10" t="n">
        <f aca="false">D12/B12</f>
        <v>1004.20268138801</v>
      </c>
    </row>
    <row r="13" customFormat="false" ht="15" hidden="false" customHeight="false" outlineLevel="0" collapsed="false">
      <c r="A13" s="11" t="s">
        <v>23</v>
      </c>
      <c r="B13" s="9" t="n">
        <v>248</v>
      </c>
      <c r="C13" s="9" t="n">
        <v>245</v>
      </c>
      <c r="D13" s="9" t="n">
        <v>74792</v>
      </c>
      <c r="E13" s="12" t="n">
        <f aca="false">D13/D$19</f>
        <v>0.0032088964930518</v>
      </c>
      <c r="F13" s="12" t="n">
        <f aca="false">B13/B$19</f>
        <v>0.0267558528428094</v>
      </c>
      <c r="G13" s="10" t="n">
        <f aca="false">D13/B13</f>
        <v>301.58064516129</v>
      </c>
    </row>
    <row r="14" customFormat="false" ht="15" hidden="false" customHeight="false" outlineLevel="0" collapsed="false">
      <c r="A14" s="11" t="s">
        <v>24</v>
      </c>
      <c r="B14" s="9" t="n">
        <v>8</v>
      </c>
      <c r="C14" s="9" t="n">
        <v>8</v>
      </c>
      <c r="D14" s="9" t="n">
        <v>18712</v>
      </c>
      <c r="E14" s="12" t="n">
        <f aca="false">D14/D$19</f>
        <v>0.000802824783104949</v>
      </c>
      <c r="F14" s="12" t="n">
        <f aca="false">B14/B$19</f>
        <v>0.000863092027187399</v>
      </c>
      <c r="G14" s="10" t="n">
        <f aca="false">D14/B14</f>
        <v>2339</v>
      </c>
    </row>
    <row r="15" customFormat="false" ht="15" hidden="false" customHeight="false" outlineLevel="0" collapsed="false">
      <c r="A15" s="11" t="s">
        <v>25</v>
      </c>
      <c r="B15" s="9" t="n">
        <v>16</v>
      </c>
      <c r="C15" s="9" t="n">
        <v>16</v>
      </c>
      <c r="D15" s="9" t="n">
        <v>10208</v>
      </c>
      <c r="E15" s="12" t="n">
        <f aca="false">D15/D$19</f>
        <v>0.000437966833365504</v>
      </c>
      <c r="F15" s="12" t="n">
        <f aca="false">B15/B$19</f>
        <v>0.0017261840543748</v>
      </c>
      <c r="G15" s="10" t="n">
        <f aca="false">D15/B15</f>
        <v>638</v>
      </c>
    </row>
    <row r="16" customFormat="false" ht="15" hidden="false" customHeight="false" outlineLevel="0" collapsed="false">
      <c r="A16" s="11" t="s">
        <v>26</v>
      </c>
      <c r="B16" s="9" t="n">
        <v>16</v>
      </c>
      <c r="C16" s="9" t="n">
        <v>16</v>
      </c>
      <c r="D16" s="9" t="n">
        <v>5392</v>
      </c>
      <c r="E16" s="12" t="n">
        <f aca="false">D16/D$19</f>
        <v>0.000231339847718143</v>
      </c>
      <c r="F16" s="12" t="n">
        <f aca="false">B16/B$19</f>
        <v>0.0017261840543748</v>
      </c>
      <c r="G16" s="10" t="n">
        <f aca="false">D16/B16</f>
        <v>337</v>
      </c>
    </row>
    <row r="17" customFormat="false" ht="15" hidden="false" customHeight="false" outlineLevel="0" collapsed="false">
      <c r="A17" s="11" t="s">
        <v>27</v>
      </c>
      <c r="B17" s="9" t="n">
        <v>4</v>
      </c>
      <c r="C17" s="9" t="n">
        <v>4</v>
      </c>
      <c r="D17" s="9" t="n">
        <v>3596</v>
      </c>
      <c r="E17" s="12" t="n">
        <f aca="false">D17/D$19</f>
        <v>0.000154283770844666</v>
      </c>
      <c r="F17" s="12" t="n">
        <f aca="false">B17/B$19</f>
        <v>0.000431546013593699</v>
      </c>
      <c r="G17" s="10" t="n">
        <f aca="false">D17/B17</f>
        <v>899</v>
      </c>
    </row>
    <row r="18" customFormat="false" ht="15" hidden="false" customHeight="false" outlineLevel="0" collapsed="false">
      <c r="A18" s="11" t="s">
        <v>28</v>
      </c>
      <c r="B18" s="9" t="n">
        <v>8</v>
      </c>
      <c r="C18" s="9" t="n">
        <v>8</v>
      </c>
      <c r="D18" s="9" t="n">
        <v>1200</v>
      </c>
      <c r="E18" s="12" t="n">
        <f aca="false">D18/D$19</f>
        <v>5.14851293141267E-005</v>
      </c>
      <c r="F18" s="12" t="n">
        <f aca="false">B18/B$19</f>
        <v>0.000863092027187399</v>
      </c>
      <c r="G18" s="10" t="n">
        <f aca="false">D18/B18</f>
        <v>150</v>
      </c>
    </row>
    <row r="19" customFormat="false" ht="15" hidden="false" customHeight="false" outlineLevel="0" collapsed="false">
      <c r="A19" s="13" t="s">
        <v>29</v>
      </c>
      <c r="B19" s="14" t="n">
        <f aca="false">SUM(B10:B18)</f>
        <v>9269</v>
      </c>
      <c r="C19" s="13" t="s">
        <v>30</v>
      </c>
      <c r="D19" s="14" t="n">
        <f aca="false">SUM(D10:D18)</f>
        <v>23307701</v>
      </c>
      <c r="E19" s="15" t="n">
        <f aca="false">SUM(E10:E18)</f>
        <v>1</v>
      </c>
      <c r="F19" s="15" t="n">
        <f aca="false">SUM(F10:F18)</f>
        <v>1</v>
      </c>
      <c r="G19" s="14" t="n">
        <f aca="false">D19/B19</f>
        <v>2514.58636314597</v>
      </c>
    </row>
    <row r="20" customFormat="false" ht="15" hidden="false" customHeight="false" outlineLevel="0" collapsed="false">
      <c r="A20" s="2" t="s">
        <v>31</v>
      </c>
    </row>
    <row r="23" customFormat="false" ht="15" hidden="false" customHeight="false" outlineLevel="0" collapsed="false">
      <c r="A23" s="3" t="s">
        <v>32</v>
      </c>
    </row>
    <row r="24" customFormat="false" ht="30" hidden="false" customHeight="true" outlineLevel="0" collapsed="false">
      <c r="A24" s="8" t="s">
        <v>33</v>
      </c>
      <c r="B24" s="8" t="s">
        <v>13</v>
      </c>
      <c r="C24" s="8" t="s">
        <v>14</v>
      </c>
      <c r="D24" s="8" t="s">
        <v>19</v>
      </c>
      <c r="E24" s="8" t="s">
        <v>18</v>
      </c>
    </row>
    <row r="25" customFormat="false" ht="15" hidden="false" customHeight="false" outlineLevel="0" collapsed="false">
      <c r="A25" s="11" t="s">
        <v>34</v>
      </c>
      <c r="B25" s="9" t="n">
        <v>3495</v>
      </c>
      <c r="C25" s="9" t="n">
        <v>998580</v>
      </c>
      <c r="D25" s="12" t="n">
        <f aca="false">B25/B$29</f>
        <v>0.377063329377495</v>
      </c>
      <c r="E25" s="12" t="n">
        <f aca="false">C25/C$29</f>
        <v>0.0428433485205877</v>
      </c>
    </row>
    <row r="26" customFormat="false" ht="15" hidden="false" customHeight="false" outlineLevel="0" collapsed="false">
      <c r="A26" s="11" t="s">
        <v>35</v>
      </c>
      <c r="B26" s="9" t="n">
        <v>3561</v>
      </c>
      <c r="C26" s="9" t="n">
        <v>3995762</v>
      </c>
      <c r="D26" s="12" t="n">
        <f aca="false">B26/B$29</f>
        <v>0.384183838601791</v>
      </c>
      <c r="E26" s="12" t="n">
        <f aca="false">C26/C$29</f>
        <v>0.171435262043422</v>
      </c>
    </row>
    <row r="27" customFormat="false" ht="15" hidden="false" customHeight="false" outlineLevel="0" collapsed="false">
      <c r="A27" s="11" t="s">
        <v>36</v>
      </c>
      <c r="B27" s="9" t="n">
        <v>1731</v>
      </c>
      <c r="C27" s="9" t="n">
        <v>7885246</v>
      </c>
      <c r="D27" s="12" t="n">
        <f aca="false">B27/B$29</f>
        <v>0.186751537382673</v>
      </c>
      <c r="E27" s="12" t="n">
        <f aca="false">C27/C$29</f>
        <v>0.338310743804773</v>
      </c>
    </row>
    <row r="28" customFormat="false" ht="15" hidden="false" customHeight="false" outlineLevel="0" collapsed="false">
      <c r="A28" s="11" t="s">
        <v>37</v>
      </c>
      <c r="B28" s="9" t="n">
        <v>482</v>
      </c>
      <c r="C28" s="9" t="n">
        <v>10428114</v>
      </c>
      <c r="D28" s="12" t="n">
        <f aca="false">B28/B$29</f>
        <v>0.0520012946380408</v>
      </c>
      <c r="E28" s="12" t="n">
        <f aca="false">C28/C$29</f>
        <v>0.447410645631217</v>
      </c>
    </row>
    <row r="29" customFormat="false" ht="15" hidden="false" customHeight="false" outlineLevel="0" collapsed="false">
      <c r="A29" s="13" t="s">
        <v>29</v>
      </c>
      <c r="B29" s="14" t="n">
        <f aca="false">SUM(B25:B28)</f>
        <v>9269</v>
      </c>
      <c r="C29" s="14" t="n">
        <f aca="false">SUM(C25:C28)</f>
        <v>23307702</v>
      </c>
      <c r="D29" s="15" t="n">
        <f aca="false">SUM(D25:D28)</f>
        <v>1</v>
      </c>
      <c r="E29" s="15" t="n">
        <f aca="false">SUM(E25:E28)</f>
        <v>1</v>
      </c>
    </row>
    <row r="32" customFormat="false" ht="15" hidden="false" customHeight="false" outlineLevel="0" collapsed="false">
      <c r="A32" s="3" t="s">
        <v>38</v>
      </c>
    </row>
    <row r="33" customFormat="false" ht="30" hidden="false" customHeight="true" outlineLevel="0" collapsed="false">
      <c r="A33" s="8" t="s">
        <v>17</v>
      </c>
      <c r="B33" s="8" t="s">
        <v>39</v>
      </c>
      <c r="C33" s="8" t="s">
        <v>13</v>
      </c>
      <c r="D33" s="8" t="s">
        <v>14</v>
      </c>
      <c r="E33" s="8" t="s">
        <v>7</v>
      </c>
    </row>
    <row r="34" customFormat="false" ht="15" hidden="false" customHeight="false" outlineLevel="0" collapsed="false">
      <c r="A34" s="11" t="s">
        <v>20</v>
      </c>
      <c r="B34" s="11" t="s">
        <v>40</v>
      </c>
      <c r="C34" s="9" t="n">
        <v>287</v>
      </c>
      <c r="D34" s="9" t="n">
        <v>6180177</v>
      </c>
      <c r="E34" s="10" t="n">
        <f aca="false">D34/C34</f>
        <v>21533.7177700348</v>
      </c>
    </row>
    <row r="35" customFormat="false" ht="15" hidden="false" customHeight="false" outlineLevel="0" collapsed="false">
      <c r="A35" s="11" t="s">
        <v>20</v>
      </c>
      <c r="B35" s="11" t="s">
        <v>41</v>
      </c>
      <c r="C35" s="9" t="n">
        <v>217</v>
      </c>
      <c r="D35" s="9" t="n">
        <v>3395869</v>
      </c>
      <c r="E35" s="10" t="n">
        <f aca="false">D35/C35</f>
        <v>15649.1658986175</v>
      </c>
    </row>
    <row r="36" customFormat="false" ht="15" hidden="false" customHeight="false" outlineLevel="0" collapsed="false">
      <c r="A36" s="11" t="s">
        <v>20</v>
      </c>
      <c r="B36" s="11" t="s">
        <v>42</v>
      </c>
      <c r="C36" s="9" t="n">
        <v>311</v>
      </c>
      <c r="D36" s="9" t="n">
        <v>791951</v>
      </c>
      <c r="E36" s="10" t="n">
        <f aca="false">D36/C36</f>
        <v>2546.46623794212</v>
      </c>
    </row>
    <row r="37" customFormat="false" ht="15" hidden="false" customHeight="false" outlineLevel="0" collapsed="false">
      <c r="A37" s="11" t="s">
        <v>21</v>
      </c>
      <c r="B37" s="11" t="s">
        <v>43</v>
      </c>
      <c r="C37" s="9" t="n">
        <v>96</v>
      </c>
      <c r="D37" s="9" t="n">
        <v>673464</v>
      </c>
      <c r="E37" s="10" t="n">
        <f aca="false">D37/C37</f>
        <v>7015.25</v>
      </c>
    </row>
    <row r="38" customFormat="false" ht="15" hidden="false" customHeight="false" outlineLevel="0" collapsed="false">
      <c r="A38" s="11" t="s">
        <v>21</v>
      </c>
      <c r="B38" s="11" t="s">
        <v>44</v>
      </c>
      <c r="C38" s="9" t="n">
        <v>216</v>
      </c>
      <c r="D38" s="9" t="n">
        <v>649020</v>
      </c>
      <c r="E38" s="10" t="n">
        <f aca="false">D38/C38</f>
        <v>3004.72222222222</v>
      </c>
    </row>
    <row r="39" customFormat="false" ht="15" hidden="false" customHeight="false" outlineLevel="0" collapsed="false">
      <c r="A39" s="11" t="s">
        <v>21</v>
      </c>
      <c r="B39" s="11" t="s">
        <v>45</v>
      </c>
      <c r="C39" s="9" t="n">
        <v>96</v>
      </c>
      <c r="D39" s="9" t="n">
        <v>607040</v>
      </c>
      <c r="E39" s="10" t="n">
        <f aca="false">D39/C39</f>
        <v>6323.33333333333</v>
      </c>
    </row>
    <row r="40" customFormat="false" ht="15" hidden="false" customHeight="false" outlineLevel="0" collapsed="false">
      <c r="A40" s="11" t="s">
        <v>21</v>
      </c>
      <c r="B40" s="11" t="s">
        <v>46</v>
      </c>
      <c r="C40" s="9" t="n">
        <v>178</v>
      </c>
      <c r="D40" s="9" t="n">
        <v>433306</v>
      </c>
      <c r="E40" s="10" t="n">
        <f aca="false">D40/C40</f>
        <v>2434.30337078652</v>
      </c>
    </row>
    <row r="41" customFormat="false" ht="15" hidden="false" customHeight="false" outlineLevel="0" collapsed="false">
      <c r="A41" s="11" t="s">
        <v>21</v>
      </c>
      <c r="B41" s="11" t="s">
        <v>47</v>
      </c>
      <c r="C41" s="9" t="n">
        <v>32</v>
      </c>
      <c r="D41" s="9" t="n">
        <v>381344</v>
      </c>
      <c r="E41" s="10" t="n">
        <f aca="false">D41/C41</f>
        <v>11917</v>
      </c>
    </row>
    <row r="42" customFormat="false" ht="15" hidden="false" customHeight="false" outlineLevel="0" collapsed="false">
      <c r="A42" s="11" t="s">
        <v>21</v>
      </c>
      <c r="B42" s="11" t="s">
        <v>48</v>
      </c>
      <c r="C42" s="9" t="n">
        <v>146</v>
      </c>
      <c r="D42" s="9" t="n">
        <v>380656</v>
      </c>
      <c r="E42" s="10" t="n">
        <f aca="false">D42/C42</f>
        <v>2607.23287671233</v>
      </c>
    </row>
    <row r="43" customFormat="false" ht="15" hidden="false" customHeight="false" outlineLevel="0" collapsed="false">
      <c r="A43" s="11" t="s">
        <v>20</v>
      </c>
      <c r="B43" s="11" t="s">
        <v>49</v>
      </c>
      <c r="C43" s="9" t="n">
        <v>352</v>
      </c>
      <c r="D43" s="9" t="n">
        <v>355030</v>
      </c>
      <c r="E43" s="10" t="n">
        <f aca="false">D43/C43</f>
        <v>1008.60795454545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24"/>
  </cols>
  <sheetData>
    <row r="1" customFormat="false" ht="19.7" hidden="false" customHeight="false" outlineLevel="0" collapsed="false">
      <c r="A1" s="1" t="s">
        <v>4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</row>
    <row r="5" customFormat="false" ht="30" hidden="false" customHeight="true" outlineLevel="0" collapsed="false">
      <c r="A5" s="8" t="s">
        <v>52</v>
      </c>
      <c r="B5" s="8" t="s">
        <v>4</v>
      </c>
      <c r="C5" s="8" t="s">
        <v>13</v>
      </c>
      <c r="D5" s="8" t="s">
        <v>14</v>
      </c>
      <c r="E5" s="8" t="s">
        <v>53</v>
      </c>
      <c r="F5" s="8" t="s">
        <v>19</v>
      </c>
      <c r="G5" s="8" t="s">
        <v>18</v>
      </c>
      <c r="H5" s="8" t="s">
        <v>54</v>
      </c>
    </row>
    <row r="6" customFormat="false" ht="15" hidden="false" customHeight="false" outlineLevel="0" collapsed="false">
      <c r="A6" s="11" t="s">
        <v>55</v>
      </c>
      <c r="B6" s="9" t="n">
        <v>202</v>
      </c>
      <c r="C6" s="9" t="n">
        <v>421</v>
      </c>
      <c r="D6" s="9" t="n">
        <v>984149</v>
      </c>
      <c r="E6" s="12" t="n">
        <f aca="false">B6/B$8</f>
        <v>0.0223204419889503</v>
      </c>
      <c r="F6" s="12" t="n">
        <f aca="false">C6/C$8</f>
        <v>0.0454202179307369</v>
      </c>
      <c r="G6" s="12" t="n">
        <f aca="false">D6/D$8</f>
        <v>0.0422241969628752</v>
      </c>
      <c r="H6" s="10" t="n">
        <f aca="false">D6/B6</f>
        <v>4872.02475247525</v>
      </c>
    </row>
    <row r="7" customFormat="false" ht="15" hidden="false" customHeight="false" outlineLevel="0" collapsed="false">
      <c r="A7" s="11" t="s">
        <v>56</v>
      </c>
      <c r="B7" s="9" t="n">
        <v>8848</v>
      </c>
      <c r="C7" s="9" t="n">
        <v>8848</v>
      </c>
      <c r="D7" s="9" t="n">
        <v>22323553</v>
      </c>
      <c r="E7" s="12" t="n">
        <f aca="false">B7/B$8</f>
        <v>0.97767955801105</v>
      </c>
      <c r="F7" s="12" t="n">
        <f aca="false">C7/C$8</f>
        <v>0.954579782069263</v>
      </c>
      <c r="G7" s="12" t="n">
        <f aca="false">D7/D$8</f>
        <v>0.957775803037125</v>
      </c>
      <c r="H7" s="10" t="n">
        <f aca="false">D7/B7</f>
        <v>2523.00553797468</v>
      </c>
    </row>
    <row r="8" customFormat="false" ht="15" hidden="false" customHeight="false" outlineLevel="0" collapsed="false">
      <c r="A8" s="13" t="s">
        <v>29</v>
      </c>
      <c r="B8" s="14" t="n">
        <f aca="false">SUM(B6:B7)</f>
        <v>9050</v>
      </c>
      <c r="C8" s="14" t="n">
        <f aca="false">SUM(C6:C7)</f>
        <v>9269</v>
      </c>
      <c r="D8" s="14" t="n">
        <f aca="false">SUM(D6:D7)</f>
        <v>23307702</v>
      </c>
      <c r="E8" s="15" t="n">
        <f aca="false">SUM(E6:E7)</f>
        <v>1</v>
      </c>
      <c r="F8" s="15" t="n">
        <f aca="false">SUM(F6:F7)</f>
        <v>1</v>
      </c>
      <c r="G8" s="15" t="n">
        <f aca="false">SUM(G6:G7)</f>
        <v>1</v>
      </c>
      <c r="H8" s="14" t="n">
        <f aca="false">D8/B8</f>
        <v>2575.43668508287</v>
      </c>
    </row>
    <row r="11" customFormat="false" ht="15" hidden="false" customHeight="false" outlineLevel="0" collapsed="false">
      <c r="A11" s="3" t="s">
        <v>57</v>
      </c>
    </row>
    <row r="12" customFormat="false" ht="30" hidden="false" customHeight="true" outlineLevel="0" collapsed="false">
      <c r="A12" s="8" t="s">
        <v>58</v>
      </c>
      <c r="B12" s="8" t="s">
        <v>4</v>
      </c>
      <c r="C12" s="8" t="s">
        <v>59</v>
      </c>
    </row>
    <row r="13" customFormat="false" ht="15" hidden="false" customHeight="false" outlineLevel="0" collapsed="false">
      <c r="A13" s="11" t="n">
        <v>1</v>
      </c>
      <c r="B13" s="9" t="n">
        <v>8848</v>
      </c>
      <c r="C13" s="12" t="n">
        <f aca="false">B13/B$17</f>
        <v>0.97767955801105</v>
      </c>
    </row>
    <row r="14" customFormat="false" ht="15" hidden="false" customHeight="false" outlineLevel="0" collapsed="false">
      <c r="A14" s="11" t="n">
        <v>2</v>
      </c>
      <c r="B14" s="9" t="n">
        <v>187</v>
      </c>
      <c r="C14" s="12" t="n">
        <f aca="false">B14/B$17</f>
        <v>0.0206629834254144</v>
      </c>
    </row>
    <row r="15" customFormat="false" ht="15" hidden="false" customHeight="false" outlineLevel="0" collapsed="false">
      <c r="A15" s="11" t="n">
        <v>3</v>
      </c>
      <c r="B15" s="9" t="n">
        <v>14</v>
      </c>
      <c r="C15" s="12" t="n">
        <f aca="false">B15/B$17</f>
        <v>0.00154696132596685</v>
      </c>
    </row>
    <row r="16" customFormat="false" ht="15" hidden="false" customHeight="false" outlineLevel="0" collapsed="false">
      <c r="A16" s="11" t="n">
        <v>5</v>
      </c>
      <c r="B16" s="9" t="n">
        <v>1</v>
      </c>
      <c r="C16" s="12" t="n">
        <f aca="false">B16/B$17</f>
        <v>0.000110497237569061</v>
      </c>
    </row>
    <row r="17" customFormat="false" ht="15" hidden="false" customHeight="false" outlineLevel="0" collapsed="false">
      <c r="A17" s="13" t="s">
        <v>29</v>
      </c>
      <c r="B17" s="14" t="n">
        <f aca="false">SUM(B13:B16)</f>
        <v>9050</v>
      </c>
      <c r="C17" s="15" t="n">
        <f aca="false">SUM(C13:C16)</f>
        <v>1</v>
      </c>
    </row>
    <row r="20" customFormat="false" ht="15" hidden="false" customHeight="false" outlineLevel="0" collapsed="false">
      <c r="A20" s="3" t="s">
        <v>60</v>
      </c>
    </row>
    <row r="21" customFormat="false" ht="30" hidden="false" customHeight="true" outlineLevel="0" collapsed="false">
      <c r="A21" s="8" t="s">
        <v>61</v>
      </c>
      <c r="B21" s="8" t="s">
        <v>62</v>
      </c>
      <c r="C21" s="8" t="s">
        <v>63</v>
      </c>
    </row>
    <row r="22" customFormat="false" ht="15" hidden="false" customHeight="false" outlineLevel="0" collapsed="false">
      <c r="A22" s="9" t="n">
        <v>107</v>
      </c>
      <c r="B22" s="10" t="n">
        <f aca="false">B8</f>
        <v>9050</v>
      </c>
      <c r="C22" s="12" t="n">
        <f aca="false">A22/B22</f>
        <v>0.0118232044198895</v>
      </c>
    </row>
    <row r="25" customFormat="false" ht="15" hidden="false" customHeight="false" outlineLevel="0" collapsed="false">
      <c r="A25" s="3" t="s">
        <v>64</v>
      </c>
    </row>
    <row r="26" customFormat="false" ht="30" hidden="false" customHeight="true" outlineLevel="0" collapsed="false">
      <c r="A26" s="8" t="s">
        <v>17</v>
      </c>
      <c r="B26" s="8" t="s">
        <v>65</v>
      </c>
      <c r="C26" s="8" t="s">
        <v>14</v>
      </c>
      <c r="D26" s="8" t="s">
        <v>18</v>
      </c>
    </row>
    <row r="27" customFormat="false" ht="15" hidden="false" customHeight="false" outlineLevel="0" collapsed="false">
      <c r="A27" s="11" t="s">
        <v>20</v>
      </c>
      <c r="B27" s="9" t="n">
        <v>130</v>
      </c>
      <c r="C27" s="9" t="n">
        <v>507113</v>
      </c>
      <c r="D27" s="12" t="n">
        <f aca="false">C27/C$33</f>
        <v>0.515280714607239</v>
      </c>
    </row>
    <row r="28" customFormat="false" ht="15" hidden="false" customHeight="false" outlineLevel="0" collapsed="false">
      <c r="A28" s="11" t="s">
        <v>21</v>
      </c>
      <c r="B28" s="9" t="n">
        <v>113</v>
      </c>
      <c r="C28" s="9" t="n">
        <v>270289</v>
      </c>
      <c r="D28" s="12" t="n">
        <f aca="false">C28/C$33</f>
        <v>0.274642355984714</v>
      </c>
    </row>
    <row r="29" customFormat="false" ht="15" hidden="false" customHeight="false" outlineLevel="0" collapsed="false">
      <c r="A29" s="11" t="s">
        <v>22</v>
      </c>
      <c r="B29" s="9" t="n">
        <v>159</v>
      </c>
      <c r="C29" s="9" t="n">
        <v>201179</v>
      </c>
      <c r="D29" s="12" t="n">
        <f aca="false">C29/C$33</f>
        <v>0.204419249524208</v>
      </c>
    </row>
    <row r="30" customFormat="false" ht="15" hidden="false" customHeight="false" outlineLevel="0" collapsed="false">
      <c r="A30" s="11" t="s">
        <v>23</v>
      </c>
      <c r="B30" s="9" t="n">
        <v>13</v>
      </c>
      <c r="C30" s="9" t="n">
        <v>2944</v>
      </c>
      <c r="D30" s="12" t="n">
        <f aca="false">C30/C$33</f>
        <v>0.00299141695007565</v>
      </c>
    </row>
    <row r="31" customFormat="false" ht="15" hidden="false" customHeight="false" outlineLevel="0" collapsed="false">
      <c r="A31" s="11" t="s">
        <v>26</v>
      </c>
      <c r="B31" s="9" t="n">
        <v>4</v>
      </c>
      <c r="C31" s="9" t="n">
        <v>1348</v>
      </c>
      <c r="D31" s="12" t="n">
        <f aca="false">C31/C$33</f>
        <v>0.0013697112937167</v>
      </c>
    </row>
    <row r="32" customFormat="false" ht="15" hidden="false" customHeight="false" outlineLevel="0" collapsed="false">
      <c r="A32" s="11" t="s">
        <v>25</v>
      </c>
      <c r="B32" s="9" t="n">
        <v>2</v>
      </c>
      <c r="C32" s="9" t="n">
        <v>1276</v>
      </c>
      <c r="D32" s="12" t="n">
        <f aca="false">C32/C$33</f>
        <v>0.00129655164004638</v>
      </c>
    </row>
    <row r="33" customFormat="false" ht="15" hidden="false" customHeight="false" outlineLevel="0" collapsed="false">
      <c r="A33" s="13" t="s">
        <v>29</v>
      </c>
      <c r="B33" s="14" t="n">
        <f aca="false">SUM(B27:B32)</f>
        <v>421</v>
      </c>
      <c r="C33" s="14" t="n">
        <f aca="false">SUM(C27:C32)</f>
        <v>984149</v>
      </c>
      <c r="D33" s="15" t="n">
        <f aca="false">SUM(D27:D32)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8" min="7" style="0" width="18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3" t="s">
        <v>68</v>
      </c>
    </row>
    <row r="5" customFormat="false" ht="30" hidden="false" customHeight="true" outlineLevel="0" collapsed="false">
      <c r="A5" s="8" t="s">
        <v>69</v>
      </c>
      <c r="B5" s="8" t="s">
        <v>70</v>
      </c>
      <c r="C5" s="8" t="s">
        <v>17</v>
      </c>
      <c r="D5" s="8" t="s">
        <v>39</v>
      </c>
      <c r="E5" s="8" t="s">
        <v>71</v>
      </c>
      <c r="F5" s="8" t="s">
        <v>72</v>
      </c>
      <c r="G5" s="8" t="s">
        <v>73</v>
      </c>
      <c r="H5" s="8" t="s">
        <v>74</v>
      </c>
    </row>
    <row r="6" customFormat="false" ht="15" hidden="false" customHeight="false" outlineLevel="0" collapsed="false">
      <c r="A6" s="16" t="n">
        <v>1</v>
      </c>
      <c r="B6" s="11" t="s">
        <v>75</v>
      </c>
      <c r="C6" s="11" t="s">
        <v>20</v>
      </c>
      <c r="D6" s="11" t="s">
        <v>76</v>
      </c>
      <c r="E6" s="9" t="n">
        <v>309</v>
      </c>
      <c r="F6" s="17" t="n">
        <v>0.35</v>
      </c>
      <c r="G6" s="18" t="n">
        <v>4.4</v>
      </c>
      <c r="H6" s="9" t="n">
        <v>426973</v>
      </c>
    </row>
    <row r="7" customFormat="false" ht="15" hidden="false" customHeight="false" outlineLevel="0" collapsed="false">
      <c r="A7" s="16" t="n">
        <v>2</v>
      </c>
      <c r="B7" s="11" t="s">
        <v>77</v>
      </c>
      <c r="C7" s="11" t="s">
        <v>20</v>
      </c>
      <c r="D7" s="11" t="s">
        <v>49</v>
      </c>
      <c r="E7" s="9" t="n">
        <v>379</v>
      </c>
      <c r="F7" s="17" t="n">
        <v>0.62</v>
      </c>
      <c r="G7" s="18" t="n">
        <v>4.1</v>
      </c>
      <c r="H7" s="9" t="n">
        <v>363713</v>
      </c>
    </row>
    <row r="8" customFormat="false" ht="15" hidden="false" customHeight="false" outlineLevel="0" collapsed="false">
      <c r="A8" s="16" t="n">
        <v>3</v>
      </c>
      <c r="B8" s="11" t="s">
        <v>78</v>
      </c>
      <c r="C8" s="11" t="s">
        <v>20</v>
      </c>
      <c r="D8" s="11" t="s">
        <v>41</v>
      </c>
      <c r="E8" s="9" t="n">
        <v>8499</v>
      </c>
      <c r="F8" s="17" t="n">
        <v>0.23</v>
      </c>
      <c r="G8" s="18" t="n">
        <v>4.1</v>
      </c>
      <c r="H8" s="9" t="n">
        <v>313836</v>
      </c>
    </row>
    <row r="9" customFormat="false" ht="15" hidden="false" customHeight="false" outlineLevel="0" collapsed="false">
      <c r="A9" s="16" t="n">
        <v>4</v>
      </c>
      <c r="B9" s="11" t="s">
        <v>79</v>
      </c>
      <c r="C9" s="11" t="s">
        <v>20</v>
      </c>
      <c r="D9" s="11" t="s">
        <v>49</v>
      </c>
      <c r="E9" s="9" t="n">
        <v>699</v>
      </c>
      <c r="F9" s="17" t="n">
        <v>0.3</v>
      </c>
      <c r="G9" s="18" t="n">
        <v>4.1</v>
      </c>
      <c r="H9" s="9" t="n">
        <v>273189</v>
      </c>
    </row>
    <row r="10" customFormat="false" ht="15" hidden="false" customHeight="false" outlineLevel="0" collapsed="false">
      <c r="A10" s="16" t="n">
        <v>5</v>
      </c>
      <c r="B10" s="11" t="s">
        <v>80</v>
      </c>
      <c r="C10" s="11" t="s">
        <v>21</v>
      </c>
      <c r="D10" s="11" t="s">
        <v>81</v>
      </c>
      <c r="E10" s="9" t="n">
        <v>199</v>
      </c>
      <c r="F10" s="17" t="n">
        <v>0.6</v>
      </c>
      <c r="G10" s="18" t="n">
        <v>4.1</v>
      </c>
      <c r="H10" s="9" t="n">
        <v>270563</v>
      </c>
    </row>
    <row r="11" customFormat="false" ht="15" hidden="false" customHeight="false" outlineLevel="0" collapsed="false">
      <c r="A11" s="16" t="n">
        <v>6</v>
      </c>
      <c r="B11" s="11" t="s">
        <v>82</v>
      </c>
      <c r="C11" s="11" t="s">
        <v>22</v>
      </c>
      <c r="D11" s="11" t="s">
        <v>83</v>
      </c>
      <c r="E11" s="9" t="n">
        <v>289</v>
      </c>
      <c r="F11" s="17" t="n">
        <v>0.56</v>
      </c>
      <c r="G11" s="18" t="n">
        <v>4.3</v>
      </c>
      <c r="H11" s="9" t="n">
        <v>253105</v>
      </c>
    </row>
    <row r="12" customFormat="false" ht="15" hidden="false" customHeight="false" outlineLevel="0" collapsed="false">
      <c r="A12" s="16" t="n">
        <v>7</v>
      </c>
      <c r="B12" s="11" t="s">
        <v>84</v>
      </c>
      <c r="C12" s="11" t="s">
        <v>20</v>
      </c>
      <c r="D12" s="11" t="s">
        <v>85</v>
      </c>
      <c r="E12" s="9" t="n">
        <v>939</v>
      </c>
      <c r="F12" s="17" t="n">
        <v>0.48</v>
      </c>
      <c r="G12" s="18" t="n">
        <v>4.5</v>
      </c>
      <c r="H12" s="9" t="n">
        <v>205052</v>
      </c>
    </row>
    <row r="13" customFormat="false" ht="15" hidden="false" customHeight="false" outlineLevel="0" collapsed="false">
      <c r="A13" s="16" t="n">
        <v>8</v>
      </c>
      <c r="B13" s="11" t="s">
        <v>86</v>
      </c>
      <c r="C13" s="11" t="s">
        <v>20</v>
      </c>
      <c r="D13" s="11" t="s">
        <v>49</v>
      </c>
      <c r="E13" s="9" t="n">
        <v>599</v>
      </c>
      <c r="F13" s="17" t="n">
        <v>0.4</v>
      </c>
      <c r="G13" s="18" t="n">
        <v>4.1</v>
      </c>
      <c r="H13" s="9" t="n">
        <v>192590</v>
      </c>
    </row>
    <row r="14" customFormat="false" ht="15" hidden="false" customHeight="false" outlineLevel="0" collapsed="false">
      <c r="A14" s="16" t="n">
        <v>9</v>
      </c>
      <c r="B14" s="11" t="s">
        <v>87</v>
      </c>
      <c r="C14" s="11" t="s">
        <v>22</v>
      </c>
      <c r="D14" s="11" t="s">
        <v>83</v>
      </c>
      <c r="E14" s="9" t="n">
        <v>579</v>
      </c>
      <c r="F14" s="17" t="n">
        <v>0.59</v>
      </c>
      <c r="G14" s="18" t="n">
        <v>4.3</v>
      </c>
      <c r="H14" s="9" t="n">
        <v>189104</v>
      </c>
    </row>
    <row r="15" customFormat="false" ht="15" hidden="false" customHeight="false" outlineLevel="0" collapsed="false">
      <c r="A15" s="16" t="n">
        <v>10</v>
      </c>
      <c r="B15" s="11" t="s">
        <v>88</v>
      </c>
      <c r="C15" s="11" t="s">
        <v>20</v>
      </c>
      <c r="D15" s="11" t="s">
        <v>49</v>
      </c>
      <c r="E15" s="9" t="n">
        <v>1299</v>
      </c>
      <c r="F15" s="17" t="n">
        <v>0.57</v>
      </c>
      <c r="G15" s="18" t="n">
        <v>3.8</v>
      </c>
      <c r="H15" s="9" t="n">
        <v>180998</v>
      </c>
    </row>
    <row r="18" customFormat="false" ht="15" hidden="false" customHeight="false" outlineLevel="0" collapsed="false">
      <c r="A18" s="3" t="s">
        <v>89</v>
      </c>
    </row>
    <row r="19" customFormat="false" ht="30" hidden="false" customHeight="true" outlineLevel="0" collapsed="false">
      <c r="A19" s="8" t="s">
        <v>69</v>
      </c>
      <c r="B19" s="8" t="s">
        <v>70</v>
      </c>
      <c r="C19" s="8" t="s">
        <v>17</v>
      </c>
      <c r="D19" s="8" t="s">
        <v>71</v>
      </c>
      <c r="E19" s="8" t="s">
        <v>73</v>
      </c>
      <c r="F19" s="8" t="s">
        <v>74</v>
      </c>
      <c r="G19" s="8" t="s">
        <v>90</v>
      </c>
    </row>
    <row r="20" customFormat="false" ht="15" hidden="false" customHeight="false" outlineLevel="0" collapsed="false">
      <c r="A20" s="16" t="n">
        <v>1</v>
      </c>
      <c r="B20" s="11" t="s">
        <v>78</v>
      </c>
      <c r="C20" s="11" t="s">
        <v>20</v>
      </c>
      <c r="D20" s="9" t="n">
        <v>8499</v>
      </c>
      <c r="E20" s="18" t="n">
        <v>4.1</v>
      </c>
      <c r="F20" s="9" t="n">
        <v>313836</v>
      </c>
      <c r="G20" s="19" t="n">
        <f aca="false">D20*F20/10000000</f>
        <v>266.7292164</v>
      </c>
    </row>
    <row r="21" customFormat="false" ht="15" hidden="false" customHeight="false" outlineLevel="0" collapsed="false">
      <c r="A21" s="16" t="n">
        <v>2</v>
      </c>
      <c r="B21" s="11" t="s">
        <v>91</v>
      </c>
      <c r="C21" s="11" t="s">
        <v>20</v>
      </c>
      <c r="D21" s="9" t="n">
        <v>32999</v>
      </c>
      <c r="E21" s="18" t="n">
        <v>4.2</v>
      </c>
      <c r="F21" s="9" t="n">
        <v>45238</v>
      </c>
      <c r="G21" s="19" t="n">
        <f aca="false">D21*F21/10000000</f>
        <v>149.2808762</v>
      </c>
    </row>
    <row r="22" customFormat="false" ht="15" hidden="false" customHeight="false" outlineLevel="0" collapsed="false">
      <c r="A22" s="16" t="n">
        <v>3</v>
      </c>
      <c r="B22" s="11" t="s">
        <v>92</v>
      </c>
      <c r="C22" s="11" t="s">
        <v>20</v>
      </c>
      <c r="D22" s="9" t="n">
        <v>37990</v>
      </c>
      <c r="E22" s="18" t="n">
        <v>4.2</v>
      </c>
      <c r="F22" s="9" t="n">
        <v>27790</v>
      </c>
      <c r="G22" s="19" t="n">
        <f aca="false">D22*F22/10000000</f>
        <v>105.57421</v>
      </c>
    </row>
    <row r="23" customFormat="false" ht="15" hidden="false" customHeight="false" outlineLevel="0" collapsed="false">
      <c r="A23" s="16" t="n">
        <v>4</v>
      </c>
      <c r="B23" s="11" t="s">
        <v>93</v>
      </c>
      <c r="C23" s="11" t="s">
        <v>20</v>
      </c>
      <c r="D23" s="9" t="n">
        <v>46999</v>
      </c>
      <c r="E23" s="18" t="n">
        <v>4.3</v>
      </c>
      <c r="F23" s="9" t="n">
        <v>21252</v>
      </c>
      <c r="G23" s="19" t="n">
        <f aca="false">D23*F23/10000000</f>
        <v>99.8822748</v>
      </c>
    </row>
    <row r="24" customFormat="false" ht="15" hidden="false" customHeight="false" outlineLevel="0" collapsed="false">
      <c r="A24" s="16" t="n">
        <v>5</v>
      </c>
      <c r="B24" s="11" t="s">
        <v>94</v>
      </c>
      <c r="C24" s="11" t="s">
        <v>20</v>
      </c>
      <c r="D24" s="9" t="n">
        <v>24999</v>
      </c>
      <c r="E24" s="18" t="n">
        <v>4.2</v>
      </c>
      <c r="F24" s="9" t="n">
        <v>34899</v>
      </c>
      <c r="G24" s="19" t="n">
        <f aca="false">D24*F24/10000000</f>
        <v>87.2440101</v>
      </c>
    </row>
    <row r="25" customFormat="false" ht="15" hidden="false" customHeight="false" outlineLevel="0" collapsed="false">
      <c r="A25" s="16" t="n">
        <v>6</v>
      </c>
      <c r="B25" s="11" t="s">
        <v>95</v>
      </c>
      <c r="C25" s="11" t="s">
        <v>20</v>
      </c>
      <c r="D25" s="9" t="n">
        <v>24999</v>
      </c>
      <c r="E25" s="18" t="n">
        <v>4.2</v>
      </c>
      <c r="F25" s="9" t="n">
        <v>32840</v>
      </c>
      <c r="G25" s="19" t="n">
        <f aca="false">D25*F25/10000000</f>
        <v>82.096716</v>
      </c>
    </row>
    <row r="26" customFormat="false" ht="15" hidden="false" customHeight="false" outlineLevel="0" collapsed="false">
      <c r="A26" s="16" t="n">
        <v>7</v>
      </c>
      <c r="B26" s="11" t="s">
        <v>96</v>
      </c>
      <c r="C26" s="11" t="s">
        <v>20</v>
      </c>
      <c r="D26" s="9" t="n">
        <v>12490</v>
      </c>
      <c r="E26" s="18" t="n">
        <v>4.2</v>
      </c>
      <c r="F26" s="9" t="n">
        <v>58506</v>
      </c>
      <c r="G26" s="19" t="n">
        <f aca="false">D26*F26/10000000</f>
        <v>73.073994</v>
      </c>
    </row>
    <row r="27" customFormat="false" ht="15" hidden="false" customHeight="false" outlineLevel="0" collapsed="false">
      <c r="A27" s="16" t="n">
        <v>8</v>
      </c>
      <c r="B27" s="11" t="s">
        <v>97</v>
      </c>
      <c r="C27" s="11" t="s">
        <v>20</v>
      </c>
      <c r="D27" s="9" t="n">
        <v>12999</v>
      </c>
      <c r="E27" s="18" t="n">
        <v>4.1</v>
      </c>
      <c r="F27" s="9" t="n">
        <v>56098</v>
      </c>
      <c r="G27" s="19" t="n">
        <f aca="false">D27*F27/10000000</f>
        <v>72.9217902</v>
      </c>
    </row>
    <row r="28" customFormat="false" ht="15" hidden="false" customHeight="false" outlineLevel="0" collapsed="false">
      <c r="A28" s="16" t="n">
        <v>9</v>
      </c>
      <c r="B28" s="11" t="s">
        <v>98</v>
      </c>
      <c r="C28" s="11" t="s">
        <v>20</v>
      </c>
      <c r="D28" s="9" t="n">
        <v>12999</v>
      </c>
      <c r="E28" s="18" t="n">
        <v>4.1</v>
      </c>
      <c r="F28" s="9" t="n">
        <v>50772</v>
      </c>
      <c r="G28" s="19" t="n">
        <f aca="false">D28*F28/10000000</f>
        <v>65.9985228</v>
      </c>
    </row>
    <row r="29" customFormat="false" ht="15" hidden="false" customHeight="false" outlineLevel="0" collapsed="false">
      <c r="A29" s="16" t="n">
        <v>10</v>
      </c>
      <c r="B29" s="11" t="s">
        <v>99</v>
      </c>
      <c r="C29" s="11" t="s">
        <v>20</v>
      </c>
      <c r="D29" s="9" t="n">
        <v>22999</v>
      </c>
      <c r="E29" s="18" t="n">
        <v>3.9</v>
      </c>
      <c r="F29" s="9" t="n">
        <v>25824</v>
      </c>
      <c r="G29" s="19" t="n">
        <f aca="false">D29*F29/10000000</f>
        <v>59.3926176</v>
      </c>
    </row>
    <row r="32" customFormat="false" ht="15" hidden="false" customHeight="false" outlineLevel="0" collapsed="false">
      <c r="A32" s="3" t="s">
        <v>100</v>
      </c>
    </row>
    <row r="33" customFormat="false" ht="30" hidden="false" customHeight="true" outlineLevel="0" collapsed="false">
      <c r="A33" s="8" t="s">
        <v>17</v>
      </c>
      <c r="B33" s="8" t="s">
        <v>101</v>
      </c>
      <c r="C33" s="8" t="s">
        <v>74</v>
      </c>
      <c r="D33" s="8" t="s">
        <v>102</v>
      </c>
      <c r="E33" s="8" t="s">
        <v>90</v>
      </c>
      <c r="F33" s="8" t="s">
        <v>103</v>
      </c>
    </row>
    <row r="34" customFormat="false" ht="15" hidden="false" customHeight="false" outlineLevel="0" collapsed="false">
      <c r="A34" s="11" t="s">
        <v>20</v>
      </c>
      <c r="B34" s="9" t="n">
        <v>379</v>
      </c>
      <c r="C34" s="9" t="n">
        <v>8392719</v>
      </c>
      <c r="D34" s="9" t="n">
        <v>28068265871</v>
      </c>
      <c r="E34" s="19" t="n">
        <f aca="false">D34/10000000</f>
        <v>2806.8265871</v>
      </c>
      <c r="F34" s="12" t="n">
        <f aca="false">D34/D$43</f>
        <v>0.703898324500891</v>
      </c>
    </row>
    <row r="35" customFormat="false" ht="15" hidden="false" customHeight="false" outlineLevel="0" collapsed="false">
      <c r="A35" s="11" t="s">
        <v>21</v>
      </c>
      <c r="B35" s="9" t="n">
        <v>447</v>
      </c>
      <c r="C35" s="9" t="n">
        <v>2989267</v>
      </c>
      <c r="D35" s="9" t="n">
        <v>6262175578</v>
      </c>
      <c r="E35" s="19" t="n">
        <f aca="false">D35/10000000</f>
        <v>626.2175578</v>
      </c>
      <c r="F35" s="12" t="n">
        <f aca="false">D35/D$43</f>
        <v>0.157043364108891</v>
      </c>
    </row>
    <row r="36" customFormat="false" ht="15" hidden="false" customHeight="false" outlineLevel="0" collapsed="false">
      <c r="A36" s="11" t="s">
        <v>22</v>
      </c>
      <c r="B36" s="9" t="n">
        <v>321</v>
      </c>
      <c r="C36" s="9" t="n">
        <v>4939800</v>
      </c>
      <c r="D36" s="9" t="n">
        <v>5424168825</v>
      </c>
      <c r="E36" s="19" t="n">
        <f aca="false">D36/10000000</f>
        <v>542.4168825</v>
      </c>
      <c r="F36" s="12" t="n">
        <f aca="false">D36/D$43</f>
        <v>0.136027760506297</v>
      </c>
    </row>
    <row r="37" customFormat="false" ht="15" hidden="false" customHeight="false" outlineLevel="0" collapsed="false">
      <c r="A37" s="11" t="s">
        <v>25</v>
      </c>
      <c r="B37" s="9" t="n">
        <v>2</v>
      </c>
      <c r="C37" s="9" t="n">
        <v>88882</v>
      </c>
      <c r="D37" s="9" t="n">
        <v>64458076</v>
      </c>
      <c r="E37" s="19" t="n">
        <f aca="false">D37/10000000</f>
        <v>6.4458076</v>
      </c>
      <c r="F37" s="12" t="n">
        <f aca="false">D37/D$43</f>
        <v>0.00161648503350644</v>
      </c>
    </row>
    <row r="38" customFormat="false" ht="15" hidden="false" customHeight="false" outlineLevel="0" collapsed="false">
      <c r="A38" s="11" t="s">
        <v>23</v>
      </c>
      <c r="B38" s="9" t="n">
        <v>30</v>
      </c>
      <c r="C38" s="9" t="n">
        <v>146614</v>
      </c>
      <c r="D38" s="9" t="n">
        <v>45511240</v>
      </c>
      <c r="E38" s="19" t="n">
        <f aca="false">D38/10000000</f>
        <v>4.551124</v>
      </c>
      <c r="F38" s="12" t="n">
        <f aca="false">D38/D$43</f>
        <v>0.00114133469196815</v>
      </c>
    </row>
    <row r="39" customFormat="false" ht="15" hidden="false" customHeight="false" outlineLevel="0" collapsed="false">
      <c r="A39" s="11" t="s">
        <v>27</v>
      </c>
      <c r="B39" s="9" t="n">
        <v>1</v>
      </c>
      <c r="C39" s="9" t="n">
        <v>3663</v>
      </c>
      <c r="D39" s="9" t="n">
        <v>3293037</v>
      </c>
      <c r="E39" s="19" t="n">
        <f aca="false">D39/10000000</f>
        <v>0.3293037</v>
      </c>
      <c r="F39" s="12" t="n">
        <f aca="false">D39/D$43</f>
        <v>8.25830579442512E-005</v>
      </c>
    </row>
    <row r="40" customFormat="false" ht="15" hidden="false" customHeight="false" outlineLevel="0" collapsed="false">
      <c r="A40" s="11" t="s">
        <v>24</v>
      </c>
      <c r="B40" s="9" t="n">
        <v>1</v>
      </c>
      <c r="C40" s="9" t="n">
        <v>1118</v>
      </c>
      <c r="D40" s="9" t="n">
        <v>2615002</v>
      </c>
      <c r="E40" s="19" t="n">
        <f aca="false">D40/10000000</f>
        <v>0.2615002</v>
      </c>
      <c r="F40" s="12" t="n">
        <f aca="false">D40/D$43</f>
        <v>6.55792393739678E-005</v>
      </c>
    </row>
    <row r="41" customFormat="false" ht="15" hidden="false" customHeight="false" outlineLevel="0" collapsed="false">
      <c r="A41" s="11" t="s">
        <v>26</v>
      </c>
      <c r="B41" s="9" t="n">
        <v>2</v>
      </c>
      <c r="C41" s="9" t="n">
        <v>8566</v>
      </c>
      <c r="D41" s="9" t="n">
        <v>2587190</v>
      </c>
      <c r="E41" s="19" t="n">
        <f aca="false">D41/10000000</f>
        <v>0.258719</v>
      </c>
      <c r="F41" s="12" t="n">
        <f aca="false">D41/D$43</f>
        <v>6.48817677064628E-005</v>
      </c>
    </row>
    <row r="42" customFormat="false" ht="15" hidden="false" customHeight="false" outlineLevel="0" collapsed="false">
      <c r="A42" s="11" t="s">
        <v>28</v>
      </c>
      <c r="B42" s="9" t="n">
        <v>1</v>
      </c>
      <c r="C42" s="9" t="n">
        <v>15867</v>
      </c>
      <c r="D42" s="9" t="n">
        <v>2380050</v>
      </c>
      <c r="E42" s="19" t="n">
        <f aca="false">D42/10000000</f>
        <v>0.238005</v>
      </c>
      <c r="F42" s="12" t="n">
        <f aca="false">D42/D$43</f>
        <v>5.96870934217305E-005</v>
      </c>
    </row>
    <row r="43" customFormat="false" ht="15" hidden="false" customHeight="false" outlineLevel="0" collapsed="false">
      <c r="A43" s="13" t="s">
        <v>29</v>
      </c>
      <c r="B43" s="14" t="n">
        <f aca="false">SUM(B34:B42)</f>
        <v>1184</v>
      </c>
      <c r="C43" s="14" t="n">
        <f aca="false">SUM(C34:C42)</f>
        <v>16586496</v>
      </c>
      <c r="D43" s="14" t="n">
        <f aca="false">SUM(D34:D42)</f>
        <v>39875454869</v>
      </c>
      <c r="E43" s="20" t="n">
        <f aca="false">D43/10000000</f>
        <v>3987.5454869</v>
      </c>
      <c r="F43" s="15" t="n">
        <f aca="false">SUM(F34:F42)</f>
        <v>1</v>
      </c>
    </row>
    <row r="46" customFormat="false" ht="15" hidden="false" customHeight="false" outlineLevel="0" collapsed="false">
      <c r="A46" s="3" t="s">
        <v>104</v>
      </c>
    </row>
    <row r="47" customFormat="false" ht="30" hidden="false" customHeight="true" outlineLevel="0" collapsed="false">
      <c r="A47" s="8" t="s">
        <v>105</v>
      </c>
      <c r="B47" s="8" t="s">
        <v>66</v>
      </c>
      <c r="C47" s="8" t="s">
        <v>106</v>
      </c>
      <c r="D47" s="8" t="s">
        <v>107</v>
      </c>
    </row>
    <row r="48" customFormat="false" ht="15" hidden="false" customHeight="false" outlineLevel="0" collapsed="false">
      <c r="A48" s="11" t="s">
        <v>108</v>
      </c>
      <c r="B48" s="9" t="n">
        <v>324</v>
      </c>
      <c r="C48" s="9" t="n">
        <v>18490</v>
      </c>
      <c r="D48" s="21" t="n">
        <v>4.16</v>
      </c>
    </row>
    <row r="49" customFormat="false" ht="15" hidden="false" customHeight="false" outlineLevel="0" collapsed="false">
      <c r="A49" s="11" t="s">
        <v>109</v>
      </c>
      <c r="B49" s="9" t="n">
        <v>603</v>
      </c>
      <c r="C49" s="9" t="n">
        <v>15608</v>
      </c>
      <c r="D49" s="21" t="n">
        <v>4.09</v>
      </c>
    </row>
    <row r="50" customFormat="false" ht="15" hidden="false" customHeight="false" outlineLevel="0" collapsed="false">
      <c r="A50" s="11" t="s">
        <v>110</v>
      </c>
      <c r="B50" s="9" t="n">
        <v>422</v>
      </c>
      <c r="C50" s="9" t="n">
        <v>19906</v>
      </c>
      <c r="D50" s="21" t="n">
        <v>4.04</v>
      </c>
    </row>
    <row r="51" customFormat="false" ht="15" hidden="false" customHeight="false" outlineLevel="0" collapsed="false">
      <c r="A51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112</v>
      </c>
    </row>
    <row r="3" customFormat="false" ht="30" hidden="false" customHeight="true" outlineLevel="0" collapsed="false">
      <c r="A3" s="8" t="s">
        <v>113</v>
      </c>
      <c r="B3" s="8" t="s">
        <v>114</v>
      </c>
    </row>
    <row r="4" customFormat="false" ht="48" hidden="false" customHeight="true" outlineLevel="0" collapsed="false">
      <c r="A4" s="22" t="s">
        <v>115</v>
      </c>
      <c r="B4" s="23" t="s">
        <v>116</v>
      </c>
    </row>
    <row r="5" customFormat="false" ht="48" hidden="false" customHeight="true" outlineLevel="0" collapsed="false">
      <c r="A5" s="22" t="s">
        <v>117</v>
      </c>
      <c r="B5" s="23" t="s">
        <v>118</v>
      </c>
    </row>
    <row r="6" customFormat="false" ht="48" hidden="false" customHeight="true" outlineLevel="0" collapsed="false">
      <c r="A6" s="22" t="s">
        <v>119</v>
      </c>
      <c r="B6" s="23" t="s">
        <v>120</v>
      </c>
    </row>
    <row r="7" customFormat="false" ht="48" hidden="false" customHeight="true" outlineLevel="0" collapsed="false">
      <c r="A7" s="22" t="s">
        <v>4</v>
      </c>
      <c r="B7" s="23" t="s">
        <v>121</v>
      </c>
    </row>
    <row r="8" customFormat="false" ht="48" hidden="false" customHeight="true" outlineLevel="0" collapsed="false">
      <c r="A8" s="22" t="s">
        <v>122</v>
      </c>
      <c r="B8" s="23" t="s">
        <v>123</v>
      </c>
    </row>
    <row r="9" customFormat="false" ht="48" hidden="false" customHeight="true" outlineLevel="0" collapsed="false">
      <c r="A9" s="22" t="s">
        <v>101</v>
      </c>
      <c r="B9" s="23" t="s">
        <v>124</v>
      </c>
    </row>
    <row r="10" customFormat="false" ht="48" hidden="false" customHeight="true" outlineLevel="0" collapsed="false">
      <c r="A10" s="22" t="s">
        <v>125</v>
      </c>
      <c r="B10" s="23" t="s">
        <v>126</v>
      </c>
    </row>
    <row r="11" customFormat="false" ht="48" hidden="false" customHeight="true" outlineLevel="0" collapsed="false">
      <c r="A11" s="22" t="s">
        <v>127</v>
      </c>
      <c r="B11" s="2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2026-10-23T09:02:17Z</dcterms:created>
  <dc:creator>openpyxl</dc:creator>
  <dc:description/>
  <dc:language>en-US</dc:language>
  <cp:lastModifiedBy/>
  <dcterms:modified xsi:type="dcterms:W3CDTF">2026-10-23T09:02:19Z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